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mazza/Desktop/Università/Ingegneria Gestionale/2 Anno/Primo semestre 2024 2025/Investigación operativa/Latex/bib/"/>
    </mc:Choice>
  </mc:AlternateContent>
  <xr:revisionPtr revIDLastSave="0" documentId="13_ncr:1_{91CFEBDE-E237-E744-A622-53288F7A9984}" xr6:coauthVersionLast="47" xr6:coauthVersionMax="47" xr10:uidLastSave="{00000000-0000-0000-0000-000000000000}"/>
  <bookViews>
    <workbookView xWindow="0" yWindow="500" windowWidth="28420" windowHeight="15960" activeTab="2" xr2:uid="{DBE2EF38-76F3-1D4F-A8BB-791117448F72}"/>
  </bookViews>
  <sheets>
    <sheet name="coches" sheetId="8" r:id="rId1"/>
    <sheet name="hubs" sheetId="9" r:id="rId2"/>
    <sheet name="pos" sheetId="10" r:id="rId3"/>
  </sheets>
  <definedNames>
    <definedName name="ExternalData_1" localSheetId="0" hidden="1">'coches'!$A$1:$M$14</definedName>
    <definedName name="ExternalData_1" localSheetId="1" hidden="1">hubs!$A$1:$G$5</definedName>
    <definedName name="ExternalData_1" localSheetId="2" hidden="1">pos!#REF!</definedName>
    <definedName name="ExternalData_2" localSheetId="2" hidden="1">pos!$A$1:$H$16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0" l="1"/>
  <c r="E17" i="10"/>
  <c r="D17" i="10"/>
  <c r="C17" i="10"/>
  <c r="M15" i="8"/>
  <c r="C6" i="9"/>
  <c r="L3" i="8"/>
  <c r="L4" i="8"/>
  <c r="L5" i="8"/>
  <c r="L6" i="8"/>
  <c r="L7" i="8"/>
  <c r="L8" i="8"/>
  <c r="L9" i="8"/>
  <c r="L10" i="8"/>
  <c r="L11" i="8"/>
  <c r="L12" i="8"/>
  <c r="L13" i="8"/>
  <c r="L14" i="8"/>
  <c r="L2" i="8"/>
  <c r="K15" i="8"/>
  <c r="J15" i="8"/>
  <c r="I15" i="8"/>
  <c r="E6" i="9"/>
  <c r="D6" i="9"/>
  <c r="H15" i="8"/>
  <c r="G3" i="8"/>
  <c r="G4" i="8"/>
  <c r="G5" i="8"/>
  <c r="G6" i="8"/>
  <c r="G7" i="8"/>
  <c r="G8" i="8"/>
  <c r="G9" i="8"/>
  <c r="G10" i="8"/>
  <c r="G11" i="8"/>
  <c r="G12" i="8"/>
  <c r="G13" i="8"/>
  <c r="G14" i="8"/>
  <c r="G2" i="8"/>
  <c r="F15" i="8"/>
  <c r="E15" i="8"/>
  <c r="D15" i="8"/>
  <c r="C15" i="8"/>
  <c r="G15" i="8" l="1"/>
  <c r="L1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4777A4-8BDC-EF45-91F6-03E957328348}" keepAlive="1" name="Query - coches" description="Connection to the 'coches' query in the workbook." type="5" refreshedVersion="8" background="1" saveData="1">
    <dbPr connection="Provider=Microsoft.Mashup.OleDb.1;Data Source=$Workbook$;Location=coches;Extended Properties=&quot;&quot;" command="SELECT * FROM [coches]"/>
  </connection>
  <connection id="2" xr16:uid="{C531A168-6682-2C4D-8068-E5F5426F8687}" keepAlive="1" name="Query - hubs" description="Connection to the 'hubs' query in the workbook." type="5" refreshedVersion="8" background="1" saveData="1">
    <dbPr connection="Provider=Microsoft.Mashup.OleDb.1;Data Source=$Workbook$;Location=hubs;Extended Properties=&quot;&quot;" command="SELECT * FROM [hubs]"/>
  </connection>
  <connection id="3" xr16:uid="{C93008FB-A8FD-214C-9F25-79AED475A751}" keepAlive="1" name="Query - hubs_distribution" description="Connection to the 'hubs_distribution' query in the workbook." type="5" refreshedVersion="8" background="1" saveData="1">
    <dbPr connection="Provider=Microsoft.Mashup.OleDb.1;Data Source=$Workbook$;Location=hubs_distribution;Extended Properties=&quot;&quot;" command="SELECT * FROM [hubs_distribution]"/>
  </connection>
  <connection id="4" xr16:uid="{FA6C5A24-F553-024C-8954-15630D926B7D}" keepAlive="1" name="Query - pos" description="Connection to the 'pos' query in the workbook." type="5" refreshedVersion="8" background="1" saveData="1">
    <dbPr connection="Provider=Microsoft.Mashup.OleDb.1;Data Source=$Workbook$;Location=pos;Extended Properties=&quot;&quot;" command="SELECT * FROM [pos]"/>
  </connection>
  <connection id="5" xr16:uid="{072C8CCB-C9D4-534B-859C-02DCA02649A2}" keepAlive="1" name="Query - pos (2)" description="Connection to the 'pos (2)' query in the workbook." type="5" refreshedVersion="8" background="1" saveData="1">
    <dbPr connection="Provider=Microsoft.Mashup.OleDb.1;Data Source=$Workbook$;Location=&quot;pos (2)&quot;;Extended Properties=&quot;&quot;" command="SELECT * FROM [pos (2)]"/>
  </connection>
  <connection id="6" xr16:uid="{CAAE7014-1220-7548-A2A3-CDEBF9AE5B34}" keepAlive="1" name="Query - ventas_ferrari_2023" description="Connection to the 'ventas_ferrari_2023' query in the workbook." type="5" refreshedVersion="8" background="1" saveData="1">
    <dbPr connection="Provider=Microsoft.Mashup.OleDb.1;Data Source=$Workbook$;Location=ventas_ferrari_2023;Extended Properties=&quot;&quot;" command="SELECT * FROM [ventas_ferrari_2023]"/>
  </connection>
</connections>
</file>

<file path=xl/sharedStrings.xml><?xml version="1.0" encoding="utf-8"?>
<sst xmlns="http://schemas.openxmlformats.org/spreadsheetml/2006/main" count="97" uniqueCount="64">
  <si>
    <t>EMEA</t>
  </si>
  <si>
    <t>Nord America</t>
  </si>
  <si>
    <t>Cina Maggiore</t>
  </si>
  <si>
    <t>Asia-Pacifico</t>
  </si>
  <si>
    <t>FNA</t>
  </si>
  <si>
    <t>FGC</t>
  </si>
  <si>
    <t>APAC</t>
  </si>
  <si>
    <t>Peso</t>
  </si>
  <si>
    <t>Model</t>
  </si>
  <si>
    <t>Pillar</t>
  </si>
  <si>
    <t>296 GTB V6 Hybrid</t>
  </si>
  <si>
    <t>Range</t>
  </si>
  <si>
    <t>296 GTS V6 Hybrid</t>
  </si>
  <si>
    <t>SF90 Stradale V8 Hybrid</t>
  </si>
  <si>
    <t>SF90 Spider V8 Hybrid</t>
  </si>
  <si>
    <t>Roma V8</t>
  </si>
  <si>
    <t>Portofino M V8</t>
  </si>
  <si>
    <t>812 GTS V12</t>
  </si>
  <si>
    <t>Purosangue V12</t>
  </si>
  <si>
    <t>812 Competizione</t>
  </si>
  <si>
    <t>Special Series</t>
  </si>
  <si>
    <t>812 Competizione A</t>
  </si>
  <si>
    <t>SF90 XX Stradale</t>
  </si>
  <si>
    <t>SF90 XX Spider</t>
  </si>
  <si>
    <t>Daytona SP3</t>
  </si>
  <si>
    <t>Icona</t>
  </si>
  <si>
    <t>Region</t>
  </si>
  <si>
    <t>POS</t>
  </si>
  <si>
    <t>USA</t>
  </si>
  <si>
    <t>Canada</t>
  </si>
  <si>
    <t>Latin America</t>
  </si>
  <si>
    <t>North Europe</t>
  </si>
  <si>
    <t>Central Europe</t>
  </si>
  <si>
    <t>West Europe</t>
  </si>
  <si>
    <t>East Europe</t>
  </si>
  <si>
    <t>South Europe</t>
  </si>
  <si>
    <t>Middle East</t>
  </si>
  <si>
    <t>Mainland China</t>
  </si>
  <si>
    <t>Taiwan</t>
  </si>
  <si>
    <t>Hong Kong</t>
  </si>
  <si>
    <t>North East Asia</t>
  </si>
  <si>
    <t>South East Asia</t>
  </si>
  <si>
    <t>Australasia</t>
  </si>
  <si>
    <t>Capacidad</t>
  </si>
  <si>
    <t>Entregas_2023</t>
  </si>
  <si>
    <t>Previsiones_2024</t>
  </si>
  <si>
    <t>Distancia_Maranello_Hub</t>
  </si>
  <si>
    <t>Coeficiente</t>
  </si>
  <si>
    <t>Europa</t>
  </si>
  <si>
    <t>Distancia_Hub_Pos</t>
  </si>
  <si>
    <t>EMEA_2023</t>
  </si>
  <si>
    <t>FNA_2023</t>
  </si>
  <si>
    <t>FGC_2023</t>
  </si>
  <si>
    <t>APAC_2023</t>
  </si>
  <si>
    <t>EMEA_2024</t>
  </si>
  <si>
    <t>FGC_2024</t>
  </si>
  <si>
    <t>FNA_2024</t>
  </si>
  <si>
    <t>APAC_2024</t>
  </si>
  <si>
    <t>Total</t>
  </si>
  <si>
    <t>Entregas 2023</t>
  </si>
  <si>
    <t>Previsiones 2024</t>
  </si>
  <si>
    <t>Hub</t>
  </si>
  <si>
    <t>Pos</t>
  </si>
  <si>
    <t>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</si>
</sst>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€-2]\ #,##0.00"/>
    <numFmt numFmtId="169" formatCode="#,##0.00\ [$€-C0A]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7">
    <dxf>
      <numFmt numFmtId="169" formatCode="#,##0.00\ [$€-C0A]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E7273B-62BC-D84C-8968-8CACB681FF34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Model" tableColumnId="1"/>
      <queryTableField id="2" name="Pillar" tableColumnId="2"/>
      <queryTableField id="3" name="EMEA" tableColumnId="3"/>
      <queryTableField id="4" name="FNA" tableColumnId="4"/>
      <queryTableField id="5" name="FGC" tableColumnId="5"/>
      <queryTableField id="6" name="APAC" tableColumnId="6"/>
      <queryTableField id="7" name="Entregas_2023" tableColumnId="7"/>
      <queryTableField id="10" dataBound="0" tableColumnId="11"/>
      <queryTableField id="11" dataBound="0" tableColumnId="12"/>
      <queryTableField id="13" dataBound="0" tableColumnId="14"/>
      <queryTableField id="12" dataBound="0" tableColumnId="13"/>
      <queryTableField id="8" name="Previsiones_2024" tableColumnId="8"/>
      <queryTableField id="9" name="Peso" tableColumnId="9"/>
      <queryTableField id="14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8A8D44C-530D-B949-95BB-86197B3DEF7D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Region" tableColumnId="1"/>
      <queryTableField id="2" name="Nombre_del_Hub" tableColumnId="2"/>
      <queryTableField id="3" name="Capacidad" tableColumnId="3"/>
      <queryTableField id="4" name="Entregas" tableColumnId="4"/>
      <queryTableField id="7" dataBound="0" tableColumnId="7"/>
      <queryTableField id="5" name="Distancia_Maranello_Hub" tableColumnId="5"/>
      <queryTableField id="6" name="Coeficiente" tableColumnId="6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6A1BED4-FBA5-1541-A424-D24DE56CE6C3}" autoFormatId="16" applyNumberFormats="0" applyBorderFormats="0" applyFontFormats="0" applyPatternFormats="0" applyAlignmentFormats="0" applyWidthHeightFormats="0">
  <queryTableRefresh nextId="9">
    <queryTableFields count="8">
      <queryTableField id="1" name="Hub" tableColumnId="1"/>
      <queryTableField id="2" name="Region" tableColumnId="2"/>
      <queryTableField id="3" name="POS" tableColumnId="3"/>
      <queryTableField id="4" name="Capacidad" tableColumnId="4"/>
      <queryTableField id="5" name="Entregas" tableColumnId="5"/>
      <queryTableField id="8" dataBound="0" tableColumnId="8"/>
      <queryTableField id="6" name="Distancia_Hub_Pos" tableColumnId="6"/>
      <queryTableField id="7" name="Coeficien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AE12C6-636E-DA4B-B3F7-462007BEB99B}" name="coches" displayName="coches" ref="A1:N15" tableType="queryTable" totalsRowCount="1">
  <autoFilter ref="A1:N14" xr:uid="{1DAE12C6-636E-DA4B-B3F7-462007BEB99B}"/>
  <tableColumns count="14">
    <tableColumn id="1" xr3:uid="{F62F9FB9-1454-DF46-BAB1-5D20314BC92A}" uniqueName="1" name="Model" totalsRowLabel="Total" queryTableFieldId="1" dataDxfId="4"/>
    <tableColumn id="2" xr3:uid="{6DD6F61D-98EA-A84E-A9F3-9F15FE88C18C}" uniqueName="2" name="Pillar" queryTableFieldId="2" dataDxfId="3"/>
    <tableColumn id="3" xr3:uid="{4D4B9BAA-9BCF-0140-8348-E7054B053C01}" uniqueName="3" name="EMEA_2023" totalsRowFunction="sum" queryTableFieldId="3"/>
    <tableColumn id="4" xr3:uid="{8920B7C0-ECD0-2349-88EE-577E682353CC}" uniqueName="4" name="FNA_2023" totalsRowFunction="sum" queryTableFieldId="4"/>
    <tableColumn id="5" xr3:uid="{956E9F24-92CE-1B44-B7DA-E5023E923684}" uniqueName="5" name="FGC_2023" totalsRowFunction="sum" queryTableFieldId="5"/>
    <tableColumn id="6" xr3:uid="{B09519F8-96A3-3942-B7E8-29CFA8C0B237}" uniqueName="6" name="APAC_2023" totalsRowFunction="sum" queryTableFieldId="6"/>
    <tableColumn id="7" xr3:uid="{505A44FB-9150-C044-96C2-C77668F10929}" uniqueName="7" name="Entregas_2023" totalsRowFunction="sum" queryTableFieldId="7"/>
    <tableColumn id="11" xr3:uid="{291FE250-AC15-0943-B804-AFCBEB752D8E}" uniqueName="11" name="EMEA_2024" totalsRowFunction="sum" queryTableFieldId="10"/>
    <tableColumn id="12" xr3:uid="{7C219A2D-3861-134D-A5CC-2EAD3360FC67}" uniqueName="12" name="FNA_2024" totalsRowFunction="sum" queryTableFieldId="11"/>
    <tableColumn id="14" xr3:uid="{F651C943-B2C1-E340-AF0A-AC365FB6F405}" uniqueName="14" name="FGC_2024" totalsRowFunction="sum" queryTableFieldId="13"/>
    <tableColumn id="13" xr3:uid="{BA612EE0-A786-A440-B189-4C874EA62C95}" uniqueName="13" name="APAC_2024" totalsRowFunction="sum" queryTableFieldId="12"/>
    <tableColumn id="8" xr3:uid="{B4DC71E1-BF72-614E-BFD8-F9EB9ABD6469}" uniqueName="8" name="Previsiones_2024" totalsRowFunction="sum" queryTableFieldId="8"/>
    <tableColumn id="9" xr3:uid="{DC4FA6D6-C6B5-6243-8730-42446825950D}" uniqueName="9" name="Peso" totalsRowFunction="average" queryTableFieldId="9"/>
    <tableColumn id="15" xr3:uid="{7B161846-800D-0247-8F44-FA02DFA6EFD7}" uniqueName="15" name="Ganancia" queryTableFieldId="14" dataDxfId="0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6A4EDA-BBD5-824F-B11A-F832795F7953}" name="hubs" displayName="hubs" ref="A1:H6" tableType="queryTable" totalsRowCount="1">
  <autoFilter ref="A1:H5" xr:uid="{CA6A4EDA-BBD5-824F-B11A-F832795F7953}"/>
  <tableColumns count="8">
    <tableColumn id="1" xr3:uid="{3860FE80-F5E5-4648-BBBB-038D72477992}" uniqueName="1" name="Region" totalsRowLabel="Total" queryTableFieldId="1" dataDxfId="6"/>
    <tableColumn id="2" xr3:uid="{13242329-DA10-4340-A637-354E1A78AFF2}" uniqueName="2" name="Hub" queryTableFieldId="2" dataDxfId="5"/>
    <tableColumn id="3" xr3:uid="{B2DAA0CE-7256-594F-98DD-FCC613ECFA39}" uniqueName="3" name="Capacidad" totalsRowFunction="sum" queryTableFieldId="3"/>
    <tableColumn id="4" xr3:uid="{E6F6EC9E-E482-6C43-807F-5316667549E8}" uniqueName="4" name="Entregas 2023" totalsRowFunction="sum" queryTableFieldId="4"/>
    <tableColumn id="7" xr3:uid="{DC43ED64-1121-AB4D-A67A-82FF1EE7FDEB}" uniqueName="7" name="Previsiones 2024" totalsRowFunction="sum" queryTableFieldId="7"/>
    <tableColumn id="5" xr3:uid="{57EED32A-6401-A643-9B7D-65B6527DAA00}" uniqueName="5" name="Distancia_Maranello_Hub" queryTableFieldId="5"/>
    <tableColumn id="6" xr3:uid="{556AF609-1838-9E4F-827D-943C393FDF6C}" uniqueName="6" name="Coeficiente" queryTableFieldId="6"/>
    <tableColumn id="8" xr3:uid="{374C2DD4-9B24-2843-AC91-C0872583CBDD}" uniqueName="8" name="Pos" queryTableFieldId="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635F6-49C2-E44D-A0C8-7398CEC91F75}" name="pos_2" displayName="pos_2" ref="A1:H17" tableType="queryTable" totalsRowCount="1">
  <autoFilter ref="A1:H16" xr:uid="{822635F6-49C2-E44D-A0C8-7398CEC91F75}"/>
  <tableColumns count="8">
    <tableColumn id="1" xr3:uid="{76A68F8B-4655-1240-BDA4-5EBC14E05218}" uniqueName="1" name="Hub" totalsRowLabel="Total" queryTableFieldId="1" dataDxfId="2"/>
    <tableColumn id="2" xr3:uid="{758EA1A9-60B2-4643-8B01-62105064ADBB}" uniqueName="2" name="Region" queryTableFieldId="2" dataDxfId="1"/>
    <tableColumn id="3" xr3:uid="{B7552DFE-997A-A34E-B2D5-BBAA04CFACC4}" uniqueName="3" name="POS" totalsRowFunction="sum" queryTableFieldId="3"/>
    <tableColumn id="4" xr3:uid="{B2D837CE-B66F-F243-B178-C5A17DBBCC6E}" uniqueName="4" name="Capacidad" totalsRowFunction="sum" queryTableFieldId="4"/>
    <tableColumn id="5" xr3:uid="{F6FA95E2-D251-154C-942D-B798BA07900F}" uniqueName="5" name="Entregas 2023" totalsRowFunction="sum" queryTableFieldId="5"/>
    <tableColumn id="8" xr3:uid="{04754E54-2F16-C149-9CB2-273151B9AD3E}" uniqueName="8" name="Previsiones 2024" totalsRowFunction="sum" queryTableFieldId="8"/>
    <tableColumn id="6" xr3:uid="{2D1ECD7E-3E02-3649-B7D8-528517C4B3EF}" uniqueName="6" name="Distancia_Hub_Pos" queryTableFieldId="6"/>
    <tableColumn id="7" xr3:uid="{DA479BB9-6D5C-D945-AAEB-6EA38590CB92}" uniqueName="7" name="Coeficiente" queryTableField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D749-A9DA-6B4B-BEAE-A54697BADF48}">
  <dimension ref="A1:N27"/>
  <sheetViews>
    <sheetView workbookViewId="0">
      <selection activeCell="E20" sqref="E20"/>
    </sheetView>
  </sheetViews>
  <sheetFormatPr baseColWidth="10" defaultRowHeight="16" x14ac:dyDescent="0.2"/>
  <cols>
    <col min="1" max="1" width="20.5" bestFit="1" customWidth="1"/>
    <col min="2" max="2" width="12.5" bestFit="1" customWidth="1"/>
    <col min="3" max="3" width="12.83203125" customWidth="1"/>
    <col min="4" max="4" width="11.83203125" customWidth="1"/>
    <col min="5" max="5" width="12.33203125" customWidth="1"/>
    <col min="6" max="6" width="13" customWidth="1"/>
    <col min="7" max="7" width="15.83203125" bestFit="1" customWidth="1"/>
    <col min="8" max="11" width="15.83203125" customWidth="1"/>
    <col min="12" max="12" width="18.1640625" bestFit="1" customWidth="1"/>
    <col min="13" max="13" width="7.83203125" bestFit="1" customWidth="1"/>
    <col min="14" max="14" width="13" customWidth="1"/>
  </cols>
  <sheetData>
    <row r="1" spans="1:14" x14ac:dyDescent="0.2">
      <c r="A1" t="s">
        <v>8</v>
      </c>
      <c r="B1" t="s">
        <v>9</v>
      </c>
      <c r="C1" t="s">
        <v>50</v>
      </c>
      <c r="D1" t="s">
        <v>51</v>
      </c>
      <c r="E1" t="s">
        <v>52</v>
      </c>
      <c r="F1" t="s">
        <v>53</v>
      </c>
      <c r="G1" t="s">
        <v>44</v>
      </c>
      <c r="H1" t="s">
        <v>54</v>
      </c>
      <c r="I1" t="s">
        <v>56</v>
      </c>
      <c r="J1" t="s">
        <v>55</v>
      </c>
      <c r="K1" t="s">
        <v>57</v>
      </c>
      <c r="L1" t="s">
        <v>45</v>
      </c>
      <c r="M1" t="s">
        <v>7</v>
      </c>
      <c r="N1" s="3" t="s">
        <v>63</v>
      </c>
    </row>
    <row r="2" spans="1:14" x14ac:dyDescent="0.2">
      <c r="A2" t="s">
        <v>10</v>
      </c>
      <c r="B2" t="s">
        <v>11</v>
      </c>
      <c r="C2">
        <v>706</v>
      </c>
      <c r="D2">
        <v>444</v>
      </c>
      <c r="E2">
        <v>173</v>
      </c>
      <c r="F2">
        <v>267</v>
      </c>
      <c r="G2">
        <f>SUM(coches[[#This Row],[EMEA_2023]]:coches[[#This Row],[APAC_2023]])</f>
        <v>1590</v>
      </c>
      <c r="H2">
        <v>777</v>
      </c>
      <c r="I2">
        <v>488</v>
      </c>
      <c r="J2">
        <v>190</v>
      </c>
      <c r="K2">
        <v>294</v>
      </c>
      <c r="L2">
        <f>SUM(coches[[#This Row],[EMEA_2024]]:coches[[#This Row],[APAC_2024]])</f>
        <v>1749</v>
      </c>
      <c r="M2">
        <v>1470</v>
      </c>
      <c r="N2" s="4">
        <v>275500</v>
      </c>
    </row>
    <row r="3" spans="1:14" x14ac:dyDescent="0.2">
      <c r="A3" t="s">
        <v>12</v>
      </c>
      <c r="B3" t="s">
        <v>11</v>
      </c>
      <c r="C3">
        <v>706</v>
      </c>
      <c r="D3">
        <v>444</v>
      </c>
      <c r="E3">
        <v>173</v>
      </c>
      <c r="F3">
        <v>267</v>
      </c>
      <c r="G3">
        <f>SUM(coches[[#This Row],[EMEA_2023]]:coches[[#This Row],[APAC_2023]])</f>
        <v>1590</v>
      </c>
      <c r="H3">
        <v>777</v>
      </c>
      <c r="I3">
        <v>488</v>
      </c>
      <c r="J3">
        <v>190</v>
      </c>
      <c r="K3">
        <v>294</v>
      </c>
      <c r="L3">
        <f>SUM(coches[[#This Row],[EMEA_2024]]:coches[[#This Row],[APAC_2024]])</f>
        <v>1749</v>
      </c>
      <c r="M3">
        <v>1540</v>
      </c>
      <c r="N3" s="4">
        <v>320000</v>
      </c>
    </row>
    <row r="4" spans="1:14" x14ac:dyDescent="0.2">
      <c r="A4" t="s">
        <v>13</v>
      </c>
      <c r="B4" t="s">
        <v>11</v>
      </c>
      <c r="C4">
        <v>706</v>
      </c>
      <c r="D4">
        <v>444</v>
      </c>
      <c r="E4">
        <v>173</v>
      </c>
      <c r="F4">
        <v>267</v>
      </c>
      <c r="G4">
        <f>SUM(coches[[#This Row],[EMEA_2023]]:coches[[#This Row],[APAC_2023]])</f>
        <v>1590</v>
      </c>
      <c r="H4">
        <v>777</v>
      </c>
      <c r="I4">
        <v>488</v>
      </c>
      <c r="J4">
        <v>190</v>
      </c>
      <c r="K4">
        <v>294</v>
      </c>
      <c r="L4">
        <f>SUM(coches[[#This Row],[EMEA_2024]]:coches[[#This Row],[APAC_2024]])</f>
        <v>1749</v>
      </c>
      <c r="M4">
        <v>1570</v>
      </c>
      <c r="N4" s="4">
        <v>430000</v>
      </c>
    </row>
    <row r="5" spans="1:14" x14ac:dyDescent="0.2">
      <c r="A5" t="s">
        <v>14</v>
      </c>
      <c r="B5" t="s">
        <v>11</v>
      </c>
      <c r="C5">
        <v>706</v>
      </c>
      <c r="D5">
        <v>444</v>
      </c>
      <c r="E5">
        <v>173</v>
      </c>
      <c r="F5">
        <v>267</v>
      </c>
      <c r="G5">
        <f>SUM(coches[[#This Row],[EMEA_2023]]:coches[[#This Row],[APAC_2023]])</f>
        <v>1590</v>
      </c>
      <c r="H5">
        <v>777</v>
      </c>
      <c r="I5">
        <v>488</v>
      </c>
      <c r="J5">
        <v>190</v>
      </c>
      <c r="K5">
        <v>294</v>
      </c>
      <c r="L5">
        <f>SUM(coches[[#This Row],[EMEA_2024]]:coches[[#This Row],[APAC_2024]])</f>
        <v>1749</v>
      </c>
      <c r="M5">
        <v>1670</v>
      </c>
      <c r="N5" s="4">
        <v>473000</v>
      </c>
    </row>
    <row r="6" spans="1:14" x14ac:dyDescent="0.2">
      <c r="A6" t="s">
        <v>15</v>
      </c>
      <c r="B6" t="s">
        <v>11</v>
      </c>
      <c r="C6">
        <v>706</v>
      </c>
      <c r="D6">
        <v>444</v>
      </c>
      <c r="E6">
        <v>173</v>
      </c>
      <c r="F6">
        <v>267</v>
      </c>
      <c r="G6">
        <f>SUM(coches[[#This Row],[EMEA_2023]]:coches[[#This Row],[APAC_2023]])</f>
        <v>1590</v>
      </c>
      <c r="H6">
        <v>777</v>
      </c>
      <c r="I6">
        <v>488</v>
      </c>
      <c r="J6">
        <v>190</v>
      </c>
      <c r="K6">
        <v>294</v>
      </c>
      <c r="L6">
        <f>SUM(coches[[#This Row],[EMEA_2024]]:coches[[#This Row],[APAC_2024]])</f>
        <v>1749</v>
      </c>
      <c r="M6">
        <v>1570</v>
      </c>
      <c r="N6" s="4">
        <v>220000</v>
      </c>
    </row>
    <row r="7" spans="1:14" x14ac:dyDescent="0.2">
      <c r="A7" t="s">
        <v>16</v>
      </c>
      <c r="B7" t="s">
        <v>11</v>
      </c>
      <c r="C7">
        <v>706</v>
      </c>
      <c r="D7">
        <v>444</v>
      </c>
      <c r="E7">
        <v>173</v>
      </c>
      <c r="F7">
        <v>267</v>
      </c>
      <c r="G7">
        <f>SUM(coches[[#This Row],[EMEA_2023]]:coches[[#This Row],[APAC_2023]])</f>
        <v>1590</v>
      </c>
      <c r="H7">
        <v>777</v>
      </c>
      <c r="I7">
        <v>488</v>
      </c>
      <c r="J7">
        <v>190</v>
      </c>
      <c r="K7">
        <v>294</v>
      </c>
      <c r="L7">
        <f>SUM(coches[[#This Row],[EMEA_2024]]:coches[[#This Row],[APAC_2024]])</f>
        <v>1749</v>
      </c>
      <c r="M7">
        <v>1545</v>
      </c>
      <c r="N7" s="4">
        <v>284000</v>
      </c>
    </row>
    <row r="8" spans="1:14" x14ac:dyDescent="0.2">
      <c r="A8" t="s">
        <v>17</v>
      </c>
      <c r="B8" t="s">
        <v>11</v>
      </c>
      <c r="C8">
        <v>706</v>
      </c>
      <c r="D8">
        <v>444</v>
      </c>
      <c r="E8">
        <v>173</v>
      </c>
      <c r="F8">
        <v>267</v>
      </c>
      <c r="G8">
        <f>SUM(coches[[#This Row],[EMEA_2023]]:coches[[#This Row],[APAC_2023]])</f>
        <v>1590</v>
      </c>
      <c r="H8">
        <v>777</v>
      </c>
      <c r="I8">
        <v>488</v>
      </c>
      <c r="J8">
        <v>190</v>
      </c>
      <c r="K8">
        <v>294</v>
      </c>
      <c r="L8">
        <f>SUM(coches[[#This Row],[EMEA_2024]]:coches[[#This Row],[APAC_2024]])</f>
        <v>1749</v>
      </c>
      <c r="M8">
        <v>1600</v>
      </c>
      <c r="N8" s="4">
        <v>336000</v>
      </c>
    </row>
    <row r="9" spans="1:14" x14ac:dyDescent="0.2">
      <c r="A9" t="s">
        <v>18</v>
      </c>
      <c r="B9" t="s">
        <v>11</v>
      </c>
      <c r="C9">
        <v>712</v>
      </c>
      <c r="D9">
        <v>444</v>
      </c>
      <c r="E9">
        <v>176</v>
      </c>
      <c r="F9">
        <v>270</v>
      </c>
      <c r="G9">
        <f>SUM(coches[[#This Row],[EMEA_2023]]:coches[[#This Row],[APAC_2023]])</f>
        <v>1602</v>
      </c>
      <c r="H9">
        <v>887</v>
      </c>
      <c r="I9">
        <v>558</v>
      </c>
      <c r="J9">
        <v>222</v>
      </c>
      <c r="K9">
        <v>334</v>
      </c>
      <c r="L9">
        <f>SUM(coches[[#This Row],[EMEA_2024]]:coches[[#This Row],[APAC_2024]])</f>
        <v>2001</v>
      </c>
      <c r="M9">
        <v>2108</v>
      </c>
      <c r="N9" s="4">
        <v>450000</v>
      </c>
    </row>
    <row r="10" spans="1:14" x14ac:dyDescent="0.2">
      <c r="A10" t="s">
        <v>19</v>
      </c>
      <c r="B10" t="s">
        <v>20</v>
      </c>
      <c r="C10">
        <v>91</v>
      </c>
      <c r="D10">
        <v>57</v>
      </c>
      <c r="E10">
        <v>22</v>
      </c>
      <c r="F10">
        <v>34</v>
      </c>
      <c r="G10">
        <f>SUM(coches[[#This Row],[EMEA_2023]]:coches[[#This Row],[APAC_2023]])</f>
        <v>204</v>
      </c>
      <c r="H10">
        <v>100</v>
      </c>
      <c r="I10">
        <v>63</v>
      </c>
      <c r="J10">
        <v>24</v>
      </c>
      <c r="K10">
        <v>38</v>
      </c>
      <c r="L10">
        <f>SUM(coches[[#This Row],[EMEA_2024]]:coches[[#This Row],[APAC_2024]])</f>
        <v>225</v>
      </c>
      <c r="M10">
        <v>1592</v>
      </c>
      <c r="N10" s="4">
        <v>499000</v>
      </c>
    </row>
    <row r="11" spans="1:14" x14ac:dyDescent="0.2">
      <c r="A11" t="s">
        <v>21</v>
      </c>
      <c r="B11" t="s">
        <v>20</v>
      </c>
      <c r="C11">
        <v>91</v>
      </c>
      <c r="D11">
        <v>57</v>
      </c>
      <c r="E11">
        <v>22</v>
      </c>
      <c r="F11">
        <v>34</v>
      </c>
      <c r="G11">
        <f>SUM(coches[[#This Row],[EMEA_2023]]:coches[[#This Row],[APAC_2023]])</f>
        <v>204</v>
      </c>
      <c r="H11">
        <v>100</v>
      </c>
      <c r="I11">
        <v>63</v>
      </c>
      <c r="J11">
        <v>24</v>
      </c>
      <c r="K11">
        <v>38</v>
      </c>
      <c r="L11">
        <f>SUM(coches[[#This Row],[EMEA_2024]]:coches[[#This Row],[APAC_2024]])</f>
        <v>225</v>
      </c>
      <c r="M11">
        <v>1587</v>
      </c>
      <c r="N11" s="4">
        <v>645000</v>
      </c>
    </row>
    <row r="12" spans="1:14" x14ac:dyDescent="0.2">
      <c r="A12" t="s">
        <v>22</v>
      </c>
      <c r="B12" t="s">
        <v>20</v>
      </c>
      <c r="C12">
        <v>91</v>
      </c>
      <c r="D12">
        <v>57</v>
      </c>
      <c r="E12">
        <v>22</v>
      </c>
      <c r="F12">
        <v>34</v>
      </c>
      <c r="G12">
        <f>SUM(coches[[#This Row],[EMEA_2023]]:coches[[#This Row],[APAC_2023]])</f>
        <v>204</v>
      </c>
      <c r="H12">
        <v>100</v>
      </c>
      <c r="I12">
        <v>63</v>
      </c>
      <c r="J12">
        <v>24</v>
      </c>
      <c r="K12">
        <v>38</v>
      </c>
      <c r="L12">
        <f>SUM(coches[[#This Row],[EMEA_2024]]:coches[[#This Row],[APAC_2024]])</f>
        <v>225</v>
      </c>
      <c r="M12">
        <v>1560</v>
      </c>
      <c r="N12" s="4">
        <v>770000</v>
      </c>
    </row>
    <row r="13" spans="1:14" x14ac:dyDescent="0.2">
      <c r="A13" t="s">
        <v>23</v>
      </c>
      <c r="B13" t="s">
        <v>20</v>
      </c>
      <c r="C13">
        <v>92</v>
      </c>
      <c r="D13">
        <v>58</v>
      </c>
      <c r="E13">
        <v>24</v>
      </c>
      <c r="F13">
        <v>36</v>
      </c>
      <c r="G13">
        <f>SUM(coches[[#This Row],[EMEA_2023]]:coches[[#This Row],[APAC_2023]])</f>
        <v>210</v>
      </c>
      <c r="H13">
        <v>104</v>
      </c>
      <c r="I13">
        <v>66</v>
      </c>
      <c r="J13">
        <v>27</v>
      </c>
      <c r="K13">
        <v>41</v>
      </c>
      <c r="L13">
        <f>SUM(coches[[#This Row],[EMEA_2024]]:coches[[#This Row],[APAC_2024]])</f>
        <v>238</v>
      </c>
      <c r="M13">
        <v>1660</v>
      </c>
      <c r="N13" s="4">
        <v>850000</v>
      </c>
    </row>
    <row r="14" spans="1:14" x14ac:dyDescent="0.2">
      <c r="A14" t="s">
        <v>24</v>
      </c>
      <c r="B14" t="s">
        <v>25</v>
      </c>
      <c r="C14">
        <v>61</v>
      </c>
      <c r="D14">
        <v>39</v>
      </c>
      <c r="E14">
        <v>15</v>
      </c>
      <c r="F14">
        <v>23</v>
      </c>
      <c r="G14">
        <f>SUM(coches[[#This Row],[EMEA_2023]]:coches[[#This Row],[APAC_2023]])</f>
        <v>138</v>
      </c>
      <c r="H14">
        <v>66</v>
      </c>
      <c r="I14">
        <v>41</v>
      </c>
      <c r="J14">
        <v>19</v>
      </c>
      <c r="K14">
        <v>25</v>
      </c>
      <c r="L14">
        <f>SUM(coches[[#This Row],[EMEA_2024]]:coches[[#This Row],[APAC_2024]])</f>
        <v>151</v>
      </c>
      <c r="M14">
        <v>1485</v>
      </c>
      <c r="N14" s="4">
        <v>2000000</v>
      </c>
    </row>
    <row r="15" spans="1:14" x14ac:dyDescent="0.2">
      <c r="A15" t="s">
        <v>58</v>
      </c>
      <c r="C15">
        <f>SUBTOTAL(109,coches[EMEA_2023])</f>
        <v>6080</v>
      </c>
      <c r="D15">
        <f>SUBTOTAL(109,coches[FNA_2023])</f>
        <v>3820</v>
      </c>
      <c r="E15">
        <f>SUBTOTAL(109,coches[FGC_2023])</f>
        <v>1492</v>
      </c>
      <c r="F15">
        <f>SUBTOTAL(109,coches[APAC_2023])</f>
        <v>2300</v>
      </c>
      <c r="G15">
        <f>SUBTOTAL(109,coches[Entregas_2023])</f>
        <v>13692</v>
      </c>
      <c r="H15">
        <f>SUBTOTAL(109,coches[EMEA_2024])</f>
        <v>6796</v>
      </c>
      <c r="I15">
        <f>SUBTOTAL(109,coches[FNA_2024])</f>
        <v>4270</v>
      </c>
      <c r="J15">
        <f>SUBTOTAL(109,coches[FGC_2024])</f>
        <v>1670</v>
      </c>
      <c r="K15">
        <f>SUBTOTAL(109,coches[APAC_2024])</f>
        <v>2572</v>
      </c>
      <c r="L15">
        <f>SUBTOTAL(109,coches[Previsiones_2024])</f>
        <v>15308</v>
      </c>
      <c r="M15">
        <f>SUBTOTAL(101,coches[Peso])</f>
        <v>1612.0769230769231</v>
      </c>
    </row>
    <row r="16" spans="1:14" x14ac:dyDescent="0.2">
      <c r="A16" s="1"/>
    </row>
    <row r="27" spans="1:1" x14ac:dyDescent="0.2">
      <c r="A27" s="1"/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CFA6-ABF2-2840-A697-656DDF448068}">
  <dimension ref="A1:H6"/>
  <sheetViews>
    <sheetView workbookViewId="0">
      <selection activeCell="E16" sqref="E16"/>
    </sheetView>
  </sheetViews>
  <sheetFormatPr baseColWidth="10" defaultRowHeight="16" x14ac:dyDescent="0.2"/>
  <cols>
    <col min="1" max="1" width="12.6640625" bestFit="1" customWidth="1"/>
    <col min="2" max="2" width="21.33203125" customWidth="1"/>
    <col min="3" max="3" width="12.5" bestFit="1" customWidth="1"/>
    <col min="4" max="4" width="16.6640625" customWidth="1"/>
    <col min="5" max="5" width="25.1640625" bestFit="1" customWidth="1"/>
    <col min="6" max="6" width="24.6640625" customWidth="1"/>
    <col min="7" max="7" width="13.5" customWidth="1"/>
  </cols>
  <sheetData>
    <row r="1" spans="1:8" x14ac:dyDescent="0.2">
      <c r="A1" t="s">
        <v>26</v>
      </c>
      <c r="B1" t="s">
        <v>61</v>
      </c>
      <c r="C1" t="s">
        <v>43</v>
      </c>
      <c r="D1" t="s">
        <v>59</v>
      </c>
      <c r="E1" t="s">
        <v>60</v>
      </c>
      <c r="F1" t="s">
        <v>46</v>
      </c>
      <c r="G1" t="s">
        <v>47</v>
      </c>
      <c r="H1" t="s">
        <v>62</v>
      </c>
    </row>
    <row r="2" spans="1:8" x14ac:dyDescent="0.2">
      <c r="A2" t="s">
        <v>48</v>
      </c>
      <c r="B2" t="s">
        <v>0</v>
      </c>
      <c r="C2" s="2">
        <v>6600</v>
      </c>
      <c r="D2">
        <v>6080</v>
      </c>
      <c r="E2">
        <v>6796</v>
      </c>
      <c r="F2">
        <v>1200</v>
      </c>
      <c r="G2">
        <v>1E-4</v>
      </c>
      <c r="H2">
        <v>92</v>
      </c>
    </row>
    <row r="3" spans="1:8" x14ac:dyDescent="0.2">
      <c r="A3" t="s">
        <v>1</v>
      </c>
      <c r="B3" t="s">
        <v>4</v>
      </c>
      <c r="C3">
        <v>4500</v>
      </c>
      <c r="D3">
        <v>3820</v>
      </c>
      <c r="E3">
        <v>4220</v>
      </c>
      <c r="F3">
        <v>7500</v>
      </c>
      <c r="G3">
        <v>1.4999999999999999E-4</v>
      </c>
      <c r="H3">
        <v>56</v>
      </c>
    </row>
    <row r="4" spans="1:8" x14ac:dyDescent="0.2">
      <c r="A4" t="s">
        <v>2</v>
      </c>
      <c r="B4" t="s">
        <v>5</v>
      </c>
      <c r="C4">
        <v>1700</v>
      </c>
      <c r="D4">
        <v>1492</v>
      </c>
      <c r="E4">
        <v>1670</v>
      </c>
      <c r="F4">
        <v>9000</v>
      </c>
      <c r="G4">
        <v>2.5000000000000001E-4</v>
      </c>
      <c r="H4">
        <v>21</v>
      </c>
    </row>
    <row r="5" spans="1:8" x14ac:dyDescent="0.2">
      <c r="A5" t="s">
        <v>3</v>
      </c>
      <c r="B5" t="s">
        <v>6</v>
      </c>
      <c r="C5" s="2">
        <v>2500</v>
      </c>
      <c r="D5">
        <v>2300</v>
      </c>
      <c r="E5">
        <v>2572</v>
      </c>
      <c r="F5">
        <v>8500</v>
      </c>
      <c r="G5">
        <v>2.0000000000000001E-4</v>
      </c>
      <c r="H5">
        <v>26</v>
      </c>
    </row>
    <row r="6" spans="1:8" x14ac:dyDescent="0.2">
      <c r="A6" t="s">
        <v>58</v>
      </c>
      <c r="C6">
        <f>SUBTOTAL(109,hubs[Capacidad])</f>
        <v>15300</v>
      </c>
      <c r="D6">
        <f>SUBTOTAL(109,hubs[Entregas 2023])</f>
        <v>13692</v>
      </c>
      <c r="E6">
        <f>SUBTOTAL(109,hubs[Previsiones 2024])</f>
        <v>15258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D484-9F74-5441-851B-3C56508116B0}">
  <dimension ref="A1:H17"/>
  <sheetViews>
    <sheetView tabSelected="1" zoomScale="86" workbookViewId="0">
      <selection activeCell="H15" sqref="H15"/>
    </sheetView>
  </sheetViews>
  <sheetFormatPr baseColWidth="10" defaultRowHeight="16" x14ac:dyDescent="0.2"/>
  <cols>
    <col min="1" max="1" width="14.6640625" customWidth="1"/>
    <col min="2" max="2" width="13.83203125" bestFit="1" customWidth="1"/>
    <col min="3" max="3" width="7.1640625" bestFit="1" customWidth="1"/>
    <col min="4" max="4" width="12.5" bestFit="1" customWidth="1"/>
    <col min="5" max="5" width="15.6640625" customWidth="1"/>
    <col min="6" max="6" width="18.1640625" customWidth="1"/>
    <col min="7" max="7" width="20" bestFit="1" customWidth="1"/>
    <col min="8" max="8" width="13.33203125" bestFit="1" customWidth="1"/>
  </cols>
  <sheetData>
    <row r="1" spans="1:8" x14ac:dyDescent="0.2">
      <c r="A1" t="s">
        <v>61</v>
      </c>
      <c r="B1" t="s">
        <v>26</v>
      </c>
      <c r="C1" t="s">
        <v>27</v>
      </c>
      <c r="D1" t="s">
        <v>43</v>
      </c>
      <c r="E1" t="s">
        <v>59</v>
      </c>
      <c r="F1" t="s">
        <v>60</v>
      </c>
      <c r="G1" t="s">
        <v>49</v>
      </c>
      <c r="H1" t="s">
        <v>47</v>
      </c>
    </row>
    <row r="2" spans="1:8" x14ac:dyDescent="0.2">
      <c r="A2" t="s">
        <v>0</v>
      </c>
      <c r="B2" t="s">
        <v>31</v>
      </c>
      <c r="C2">
        <v>15</v>
      </c>
      <c r="D2">
        <v>1200</v>
      </c>
      <c r="E2">
        <v>991</v>
      </c>
      <c r="F2">
        <v>1108</v>
      </c>
      <c r="G2">
        <v>1500</v>
      </c>
      <c r="H2">
        <v>6.0000000000000002E-5</v>
      </c>
    </row>
    <row r="3" spans="1:8" x14ac:dyDescent="0.2">
      <c r="A3" t="s">
        <v>0</v>
      </c>
      <c r="B3" t="s">
        <v>32</v>
      </c>
      <c r="C3">
        <v>13</v>
      </c>
      <c r="D3">
        <v>1000</v>
      </c>
      <c r="E3">
        <v>859</v>
      </c>
      <c r="F3">
        <v>960</v>
      </c>
      <c r="G3">
        <v>600</v>
      </c>
      <c r="H3">
        <v>5.0000000000000002E-5</v>
      </c>
    </row>
    <row r="4" spans="1:8" x14ac:dyDescent="0.2">
      <c r="A4" t="s">
        <v>0</v>
      </c>
      <c r="B4" t="s">
        <v>33</v>
      </c>
      <c r="C4">
        <v>22</v>
      </c>
      <c r="D4">
        <v>1700</v>
      </c>
      <c r="E4">
        <v>1453</v>
      </c>
      <c r="F4">
        <v>1625</v>
      </c>
      <c r="G4">
        <v>1300</v>
      </c>
      <c r="H4">
        <v>6.9999999999999994E-5</v>
      </c>
    </row>
    <row r="5" spans="1:8" x14ac:dyDescent="0.2">
      <c r="A5" t="s">
        <v>0</v>
      </c>
      <c r="B5" t="s">
        <v>34</v>
      </c>
      <c r="C5">
        <v>14</v>
      </c>
      <c r="D5">
        <v>1100</v>
      </c>
      <c r="E5">
        <v>925</v>
      </c>
      <c r="F5">
        <v>1034</v>
      </c>
      <c r="G5">
        <v>2000</v>
      </c>
      <c r="H5">
        <v>8.0000000000000007E-5</v>
      </c>
    </row>
    <row r="6" spans="1:8" x14ac:dyDescent="0.2">
      <c r="A6" t="s">
        <v>0</v>
      </c>
      <c r="B6" t="s">
        <v>35</v>
      </c>
      <c r="C6">
        <v>17</v>
      </c>
      <c r="D6">
        <v>1300</v>
      </c>
      <c r="E6">
        <v>1123</v>
      </c>
      <c r="F6">
        <v>1255</v>
      </c>
      <c r="G6">
        <v>1000</v>
      </c>
      <c r="H6">
        <v>6.0000000000000002E-5</v>
      </c>
    </row>
    <row r="7" spans="1:8" x14ac:dyDescent="0.2">
      <c r="A7" t="s">
        <v>0</v>
      </c>
      <c r="B7" t="s">
        <v>36</v>
      </c>
      <c r="C7">
        <v>11</v>
      </c>
      <c r="D7" s="2">
        <v>800</v>
      </c>
      <c r="E7">
        <v>729</v>
      </c>
      <c r="F7">
        <v>814</v>
      </c>
      <c r="G7">
        <v>3500</v>
      </c>
      <c r="H7">
        <v>1E-4</v>
      </c>
    </row>
    <row r="8" spans="1:8" x14ac:dyDescent="0.2">
      <c r="A8" t="s">
        <v>4</v>
      </c>
      <c r="B8" t="s">
        <v>28</v>
      </c>
      <c r="C8">
        <v>44</v>
      </c>
      <c r="D8">
        <v>3900</v>
      </c>
      <c r="E8">
        <v>3002</v>
      </c>
      <c r="F8">
        <v>3355</v>
      </c>
      <c r="G8">
        <v>1000</v>
      </c>
      <c r="H8">
        <v>8.0000000000000007E-5</v>
      </c>
    </row>
    <row r="9" spans="1:8" x14ac:dyDescent="0.2">
      <c r="A9" t="s">
        <v>4</v>
      </c>
      <c r="B9" t="s">
        <v>29</v>
      </c>
      <c r="C9">
        <v>5</v>
      </c>
      <c r="D9">
        <v>600</v>
      </c>
      <c r="E9">
        <v>341</v>
      </c>
      <c r="F9">
        <v>381</v>
      </c>
      <c r="G9">
        <v>1500</v>
      </c>
      <c r="H9">
        <v>9.0000000000000006E-5</v>
      </c>
    </row>
    <row r="10" spans="1:8" x14ac:dyDescent="0.2">
      <c r="A10" t="s">
        <v>4</v>
      </c>
      <c r="B10" t="s">
        <v>30</v>
      </c>
      <c r="C10">
        <v>7</v>
      </c>
      <c r="D10">
        <v>700</v>
      </c>
      <c r="E10">
        <v>477</v>
      </c>
      <c r="F10">
        <v>534</v>
      </c>
      <c r="G10">
        <v>4500</v>
      </c>
      <c r="H10">
        <v>1.2E-4</v>
      </c>
    </row>
    <row r="11" spans="1:8" x14ac:dyDescent="0.2">
      <c r="A11" t="s">
        <v>5</v>
      </c>
      <c r="B11" t="s">
        <v>37</v>
      </c>
      <c r="C11">
        <v>17</v>
      </c>
      <c r="D11">
        <v>1300</v>
      </c>
      <c r="E11">
        <v>1207</v>
      </c>
      <c r="F11">
        <v>1351</v>
      </c>
      <c r="G11">
        <v>1000</v>
      </c>
      <c r="H11">
        <v>8.0000000000000007E-5</v>
      </c>
    </row>
    <row r="12" spans="1:8" x14ac:dyDescent="0.2">
      <c r="A12" t="s">
        <v>5</v>
      </c>
      <c r="B12" t="s">
        <v>38</v>
      </c>
      <c r="C12">
        <v>3</v>
      </c>
      <c r="D12">
        <v>250</v>
      </c>
      <c r="E12">
        <v>213</v>
      </c>
      <c r="F12">
        <v>238</v>
      </c>
      <c r="G12">
        <v>800</v>
      </c>
      <c r="H12">
        <v>6.9999999999999994E-5</v>
      </c>
    </row>
    <row r="13" spans="1:8" x14ac:dyDescent="0.2">
      <c r="A13" t="s">
        <v>5</v>
      </c>
      <c r="B13" t="s">
        <v>39</v>
      </c>
      <c r="C13">
        <v>1</v>
      </c>
      <c r="D13" s="2">
        <v>75</v>
      </c>
      <c r="E13">
        <v>72</v>
      </c>
      <c r="F13">
        <v>81</v>
      </c>
      <c r="G13">
        <v>1200</v>
      </c>
      <c r="H13">
        <v>9.0000000000000006E-5</v>
      </c>
    </row>
    <row r="14" spans="1:8" x14ac:dyDescent="0.2">
      <c r="A14" t="s">
        <v>6</v>
      </c>
      <c r="B14" t="s">
        <v>40</v>
      </c>
      <c r="C14">
        <v>11</v>
      </c>
      <c r="D14">
        <v>1200</v>
      </c>
      <c r="E14">
        <v>973</v>
      </c>
      <c r="F14">
        <v>1088</v>
      </c>
      <c r="G14">
        <v>5000</v>
      </c>
      <c r="H14">
        <v>1.4999999999999999E-4</v>
      </c>
    </row>
    <row r="15" spans="1:8" x14ac:dyDescent="0.2">
      <c r="A15" t="s">
        <v>6</v>
      </c>
      <c r="B15" t="s">
        <v>41</v>
      </c>
      <c r="C15">
        <v>7</v>
      </c>
      <c r="D15">
        <v>800</v>
      </c>
      <c r="E15">
        <v>619</v>
      </c>
      <c r="F15">
        <v>692</v>
      </c>
      <c r="G15">
        <v>1500</v>
      </c>
      <c r="H15">
        <v>1E-4</v>
      </c>
    </row>
    <row r="16" spans="1:8" x14ac:dyDescent="0.2">
      <c r="A16" t="s">
        <v>6</v>
      </c>
      <c r="B16" t="s">
        <v>42</v>
      </c>
      <c r="C16">
        <v>8</v>
      </c>
      <c r="D16">
        <v>800</v>
      </c>
      <c r="E16">
        <v>708</v>
      </c>
      <c r="F16">
        <v>792</v>
      </c>
      <c r="G16">
        <v>6000</v>
      </c>
      <c r="H16">
        <v>1.6000000000000001E-4</v>
      </c>
    </row>
    <row r="17" spans="1:6" x14ac:dyDescent="0.2">
      <c r="A17" t="s">
        <v>58</v>
      </c>
      <c r="C17">
        <f>SUBTOTAL(109,pos_2[POS])</f>
        <v>195</v>
      </c>
      <c r="D17">
        <f>SUBTOTAL(109,pos_2[Capacidad])</f>
        <v>16725</v>
      </c>
      <c r="E17">
        <f>SUBTOTAL(109,pos_2[Entregas 2023])</f>
        <v>13692</v>
      </c>
      <c r="F17">
        <f>SUBTOTAL(109,pos_2[Previsiones 2024])</f>
        <v>15308</v>
      </c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F78163-F5B1-424D-8731-F64D72516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coches</vt:lpstr>
      <vt:lpstr>hubs</vt:lpstr>
      <vt:lpstr>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Mazza</dc:creator>
  <cp:lastModifiedBy>Michele Mazza</cp:lastModifiedBy>
  <dcterms:created xsi:type="dcterms:W3CDTF">2024-12-21T21:24:40Z</dcterms:created>
  <dcterms:modified xsi:type="dcterms:W3CDTF">2024-12-31T13:26:19Z</dcterms:modified>
</cp:coreProperties>
</file>